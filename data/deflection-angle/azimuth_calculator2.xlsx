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imuth Calculator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2"/>
    </font>
    <font>
      <name val="Arial"/>
      <sz val="12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7B8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  <xf numFmtId="1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8" customWidth="1" min="3" max="3"/>
    <col width="5" customWidth="1" min="4" max="4"/>
    <col width="12" customWidth="1" min="5" max="5"/>
    <col width="10" customWidth="1" min="6" max="6"/>
  </cols>
  <sheetData>
    <row r="1" ht="24" customHeight="1">
      <c r="A1" s="1" t="inlineStr">
        <is>
          <t>מצוי</t>
        </is>
      </c>
      <c r="B1" s="1" t="inlineStr">
        <is>
          <t>משגר</t>
        </is>
      </c>
      <c r="C1" s="1" t="inlineStr">
        <is>
          <t>פינת קיר 1</t>
        </is>
      </c>
      <c r="D1" s="2" t="n"/>
      <c r="E1" s="2" t="n"/>
      <c r="F1" s="2" t="n"/>
    </row>
    <row r="2" ht="24" customHeight="1">
      <c r="A2" s="3" t="n">
        <v>0</v>
      </c>
      <c r="B2" s="3" t="n">
        <v>500</v>
      </c>
      <c r="C2" s="3" t="n">
        <v>100</v>
      </c>
      <c r="D2" s="4" t="inlineStr">
        <is>
          <t>E</t>
        </is>
      </c>
      <c r="E2" s="2" t="n"/>
      <c r="F2" s="2" t="n"/>
    </row>
    <row r="3" ht="24" customHeight="1">
      <c r="A3" s="3" t="n">
        <v>0</v>
      </c>
      <c r="B3" s="3" t="n">
        <v>100</v>
      </c>
      <c r="C3" s="3" t="n">
        <v>100</v>
      </c>
      <c r="D3" s="4" t="inlineStr">
        <is>
          <t>N</t>
        </is>
      </c>
      <c r="E3" s="2" t="n"/>
      <c r="F3" s="2" t="n"/>
    </row>
    <row r="4" ht="24" customHeight="1">
      <c r="A4" s="2" t="n"/>
      <c r="B4" s="2" t="n"/>
      <c r="C4" s="1" t="inlineStr">
        <is>
          <t>פינת קיר 2</t>
        </is>
      </c>
      <c r="D4" s="2" t="n"/>
      <c r="E4" s="5">
        <f>AVERAGE(C2,C5)</f>
        <v/>
      </c>
      <c r="F4" s="2" t="n"/>
    </row>
    <row r="5" ht="24" customHeight="1">
      <c r="A5" s="2" t="n"/>
      <c r="B5" s="2" t="n"/>
      <c r="C5" s="3" t="n">
        <v>200</v>
      </c>
      <c r="D5" s="4" t="inlineStr">
        <is>
          <t>E</t>
        </is>
      </c>
      <c r="E5" s="5">
        <f>AVERAGE(C3,C6)</f>
        <v/>
      </c>
      <c r="F5" s="2" t="n"/>
    </row>
    <row r="6" ht="24" customHeight="1">
      <c r="A6" s="2" t="n"/>
      <c r="B6" s="2" t="n"/>
      <c r="C6" s="3" t="n">
        <v>200</v>
      </c>
      <c r="D6" s="4" t="inlineStr">
        <is>
          <t>N</t>
        </is>
      </c>
      <c r="E6" s="2" t="n"/>
      <c r="F6" s="2" t="n"/>
    </row>
    <row r="7" ht="24" customHeight="1">
      <c r="A7" s="1" t="inlineStr">
        <is>
          <t>אזימוט תצפית מטרה</t>
        </is>
      </c>
      <c r="B7" s="1" t="inlineStr">
        <is>
          <t>אזימוט משגר מטרה</t>
        </is>
      </c>
      <c r="C7" s="1" t="inlineStr">
        <is>
          <t>אזימוט קיר</t>
        </is>
      </c>
      <c r="D7" s="2" t="n"/>
      <c r="E7" s="2" t="n"/>
      <c r="F7" s="2" t="n"/>
    </row>
    <row r="8" ht="24" customHeight="1">
      <c r="A8" s="5">
        <f>ROUND(MOD(DEGREES(ATAN2(AVERAGE(C2,C5)-A2,AVERAGE(C3,C6)-A3)),360),0)</f>
        <v/>
      </c>
      <c r="B8" s="5">
        <f>ROUND(MOD(DEGREES(ATAN2(AVERAGE(C2,C5)-B2,AVERAGE(C3,C6)-B3)),360),0)</f>
        <v/>
      </c>
      <c r="C8" s="5">
        <f>ROUND(MOD(DEGREES(ATAN2(C5-C2,C6-C3)),360),0)</f>
        <v/>
      </c>
      <c r="D8" s="2" t="n"/>
      <c r="E8" s="2" t="n"/>
      <c r="F8" s="2" t="n"/>
    </row>
    <row r="9" ht="24" customHeight="1">
      <c r="A9" s="2" t="n"/>
      <c r="B9" s="2" t="n"/>
      <c r="C9" s="2" t="n"/>
      <c r="D9" s="2" t="n"/>
      <c r="E9" s="2" t="n"/>
      <c r="F9" s="2" t="n"/>
    </row>
    <row r="10" ht="24" customHeight="1">
      <c r="A10" s="1" t="inlineStr">
        <is>
          <t>זווית ציון לקיר</t>
        </is>
      </c>
      <c r="B10" s="1" t="inlineStr">
        <is>
          <t>זווית קודקוד</t>
        </is>
      </c>
      <c r="C10" s="1" t="inlineStr">
        <is>
          <t>זווית הגעת טיל לקיר</t>
        </is>
      </c>
      <c r="D10" s="2" t="n"/>
      <c r="E10" s="2" t="n"/>
      <c r="F10" s="2" t="n"/>
    </row>
    <row r="11" ht="24" customHeight="1">
      <c r="A11" s="5">
        <f>ABS(MOD(A8-C8+90,180)-90)</f>
        <v/>
      </c>
      <c r="B11" s="6">
        <f>IF(A8-B8&gt;180,360-ABS(A8-B8),ABS(A8-B8))</f>
        <v/>
      </c>
      <c r="C11" s="5">
        <f>ABS(MOD(B8-C8+90,180)-90)</f>
        <v/>
      </c>
      <c r="D11" s="2" t="n"/>
      <c r="E11" s="2" t="n"/>
      <c r="F11" s="2" t="n"/>
    </row>
    <row r="12" ht="24" customHeight="1">
      <c r="A12" s="2" t="n"/>
      <c r="B12" s="2" t="n"/>
      <c r="C12" s="2" t="n"/>
      <c r="D12" s="2" t="n"/>
      <c r="E12" s="2" t="n"/>
      <c r="F12" s="2" t="n"/>
    </row>
    <row r="13" ht="24" customHeight="1">
      <c r="A13" s="1" t="inlineStr">
        <is>
          <t>מריחת נתז על קיר - פי</t>
        </is>
      </c>
      <c r="B13" s="7" t="n"/>
      <c r="C13" s="1" t="inlineStr">
        <is>
          <t>הגדלת הסטיה בהסט הצידה - פי</t>
        </is>
      </c>
      <c r="D13" s="2" t="n"/>
      <c r="E13" s="2" t="n"/>
      <c r="F13" s="2" t="n"/>
    </row>
    <row r="14" ht="24" customHeight="1">
      <c r="A14" s="8">
        <f>ROUND(1/SIN(RADIANS(A11)),1)</f>
        <v/>
      </c>
      <c r="B14" s="9" t="n"/>
      <c r="C14" s="8">
        <f>ROUND(1/SIN(RADIANS(C11)),1)</f>
        <v/>
      </c>
      <c r="D14" s="2" t="n"/>
      <c r="E14" s="2" t="n"/>
      <c r="F14" s="2" t="n"/>
    </row>
    <row r="15" ht="24" customHeight="1">
      <c r="A15" s="2" t="n"/>
      <c r="B15" s="2" t="n"/>
      <c r="C15" s="2" t="n"/>
      <c r="D15" s="2" t="n"/>
      <c r="E15" s="2" t="n"/>
      <c r="F1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2026-06-03T11:56:45Z</dcterms:created>
  <dcterms:modified xmlns:dcterms="http://purl.org/dc/terms/" xmlns:xsi="http://www.w3.org/2001/XMLSchema-instance" xsi:type="dcterms:W3CDTF">2026-06-03T11:56:45Z</dcterms:modified>
</cp:coreProperties>
</file>